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IS" sheetId="4" state="visible" r:id="rId4"/>
    <sheet xmlns:r="http://schemas.openxmlformats.org/officeDocument/2006/relationships" name="BS" sheetId="5" state="visible" r:id="rId5"/>
    <sheet xmlns:r="http://schemas.openxmlformats.org/officeDocument/2006/relationships" name="CF" sheetId="6" state="visible" r:id="rId6"/>
    <sheet xmlns:r="http://schemas.openxmlformats.org/officeDocument/2006/relationships" name="DC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&quot;$&quot;#,##0.00"/>
  </numFmts>
  <fonts count="8">
    <font>
      <name val="Calibri"/>
      <family val="2"/>
      <color theme="1"/>
      <sz val="11"/>
      <scheme val="minor"/>
    </font>
    <font>
      <b val="1"/>
      <color rgb="001F4E78"/>
      <sz val="24"/>
    </font>
    <font>
      <i val="1"/>
      <sz val="16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0" fillId="4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29"/>
  <sheetViews>
    <sheetView workbookViewId="0">
      <selection activeCell="A1" sqref="A1"/>
    </sheetView>
  </sheetViews>
  <sheetFormatPr baseColWidth="8" defaultRowHeight="15"/>
  <cols>
    <col width="20" customWidth="1" min="2" max="2"/>
    <col width="40" customWidth="1" min="3" max="3"/>
    <col width="15" customWidth="1" min="4" max="4"/>
    <col width="15" customWidth="1" min="5" max="5"/>
  </cols>
  <sheetData>
    <row r="3">
      <c r="B3" s="1" t="inlineStr">
        <is>
          <t>BOBWEIR PHARMACEUTICALS, INC.</t>
        </is>
      </c>
    </row>
    <row r="5">
      <c r="B5" s="2" t="inlineStr">
        <is>
          <t>Integrated Financial Model</t>
        </is>
      </c>
    </row>
    <row r="8">
      <c r="B8" s="3" t="inlineStr">
        <is>
          <t>Model Overview</t>
        </is>
      </c>
    </row>
    <row r="10">
      <c r="B10" t="inlineStr">
        <is>
          <t>Company Description:</t>
        </is>
      </c>
      <c r="C10" t="inlineStr">
        <is>
          <t>Specialty pharmaceutical company focused on rare diseases and oncology</t>
        </is>
      </c>
    </row>
    <row r="11">
      <c r="B11" t="inlineStr">
        <is>
          <t>Headquarters:</t>
        </is>
      </c>
      <c r="C11" t="inlineStr">
        <is>
          <t>San Francisco, CA</t>
        </is>
      </c>
    </row>
    <row r="12">
      <c r="B12" t="inlineStr">
        <is>
          <t>Founded:</t>
        </is>
      </c>
      <c r="C12" t="n">
        <v>2008</v>
      </c>
    </row>
    <row r="13">
      <c r="B13" t="inlineStr">
        <is>
          <t>Employees:</t>
        </is>
      </c>
      <c r="C13" t="n">
        <v>2850</v>
      </c>
    </row>
    <row r="15">
      <c r="B15" s="3" t="inlineStr">
        <is>
          <t>Model Details</t>
        </is>
      </c>
    </row>
    <row r="17">
      <c r="B17" t="inlineStr">
        <is>
          <t>Historical Period:</t>
        </is>
      </c>
      <c r="C17" t="inlineStr">
        <is>
          <t>2021A - 2023A</t>
        </is>
      </c>
    </row>
    <row r="18">
      <c r="B18" t="inlineStr">
        <is>
          <t>Projection Period:</t>
        </is>
      </c>
      <c r="C18" t="inlineStr">
        <is>
          <t>2024E - 2028E</t>
        </is>
      </c>
    </row>
    <row r="19">
      <c r="B19" t="inlineStr">
        <is>
          <t>Last Updated:</t>
        </is>
      </c>
      <c r="C19" t="inlineStr">
        <is>
          <t>January 2024</t>
        </is>
      </c>
    </row>
    <row r="21">
      <c r="B21" s="3" t="inlineStr">
        <is>
          <t>Product Portfolio</t>
        </is>
      </c>
    </row>
    <row r="23">
      <c r="B23" s="4" t="inlineStr">
        <is>
          <t>Product</t>
        </is>
      </c>
      <c r="C23" s="4" t="inlineStr">
        <is>
          <t>Indication</t>
        </is>
      </c>
      <c r="D23" s="4" t="inlineStr">
        <is>
          <t>2023 Revenue</t>
        </is>
      </c>
      <c r="E23" s="4" t="inlineStr">
        <is>
          <t>Launch Year</t>
        </is>
      </c>
    </row>
    <row r="24">
      <c r="B24" t="inlineStr">
        <is>
          <t>Neurex</t>
        </is>
      </c>
      <c r="C24" t="inlineStr">
        <is>
          <t>Rare neurological disorder</t>
        </is>
      </c>
      <c r="D24" t="inlineStr">
        <is>
          <t>$850M</t>
        </is>
      </c>
      <c r="E24" t="inlineStr">
        <is>
          <t>2019</t>
        </is>
      </c>
    </row>
    <row r="25">
      <c r="B25" t="inlineStr">
        <is>
          <t>Oncovir</t>
        </is>
      </c>
      <c r="C25" t="inlineStr">
        <is>
          <t>Solid tumor oncology</t>
        </is>
      </c>
      <c r="D25" t="inlineStr">
        <is>
          <t>$720M</t>
        </is>
      </c>
      <c r="E25" t="inlineStr">
        <is>
          <t>2020</t>
        </is>
      </c>
    </row>
    <row r="26">
      <c r="B26" t="inlineStr">
        <is>
          <t>Hemaguard</t>
        </is>
      </c>
      <c r="C26" t="inlineStr">
        <is>
          <t>Rare blood disorder</t>
        </is>
      </c>
      <c r="D26" t="inlineStr">
        <is>
          <t>$540M</t>
        </is>
      </c>
      <c r="E26" t="inlineStr">
        <is>
          <t>2018</t>
        </is>
      </c>
    </row>
    <row r="27">
      <c r="B27" t="inlineStr">
        <is>
          <t>Cardioshield</t>
        </is>
      </c>
      <c r="C27" t="inlineStr">
        <is>
          <t>Cardiovascular</t>
        </is>
      </c>
      <c r="D27" t="inlineStr">
        <is>
          <t>$420M</t>
        </is>
      </c>
      <c r="E27" t="inlineStr">
        <is>
          <t>2021</t>
        </is>
      </c>
    </row>
    <row r="28">
      <c r="B28" t="inlineStr">
        <is>
          <t>Dermaclear</t>
        </is>
      </c>
      <c r="C28" t="inlineStr">
        <is>
          <t>Dermatology</t>
        </is>
      </c>
      <c r="D28" t="inlineStr">
        <is>
          <t>$310M</t>
        </is>
      </c>
      <c r="E28" t="inlineStr">
        <is>
          <t>2022</t>
        </is>
      </c>
    </row>
    <row r="29">
      <c r="B29" t="inlineStr">
        <is>
          <t>Respiron</t>
        </is>
      </c>
      <c r="C29" t="inlineStr">
        <is>
          <t>Respiratory</t>
        </is>
      </c>
      <c r="D29" t="inlineStr">
        <is>
          <t>$160M</t>
        </is>
      </c>
      <c r="E29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selection activeCell="A1" sqref="A1"/>
    </sheetView>
  </sheetViews>
  <sheetFormatPr baseColWidth="8" defaultRowHeight="15"/>
  <cols>
    <col width="2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4" t="inlineStr">
        <is>
          <t>Assumption</t>
        </is>
      </c>
      <c r="C2" s="4" t="inlineStr">
        <is>
          <t>Units</t>
        </is>
      </c>
      <c r="D2" s="4" t="inlineStr">
        <is>
          <t>2021A</t>
        </is>
      </c>
      <c r="E2" s="4" t="inlineStr">
        <is>
          <t>2022A</t>
        </is>
      </c>
      <c r="F2" s="4" t="inlineStr">
        <is>
          <t>2023A</t>
        </is>
      </c>
      <c r="G2" s="4" t="inlineStr">
        <is>
          <t>2024E</t>
        </is>
      </c>
      <c r="H2" s="4" t="inlineStr">
        <is>
          <t>2025E</t>
        </is>
      </c>
      <c r="I2" s="4" t="inlineStr">
        <is>
          <t>2026E</t>
        </is>
      </c>
      <c r="J2" s="4" t="inlineStr">
        <is>
          <t>2027E</t>
        </is>
      </c>
      <c r="K2" s="4" t="inlineStr">
        <is>
          <t>2028E</t>
        </is>
      </c>
    </row>
    <row r="4">
      <c r="B4" s="5" t="inlineStr">
        <is>
          <t>REVENUE ASSUMPTIONS</t>
        </is>
      </c>
    </row>
    <row r="5">
      <c r="B5" t="inlineStr">
        <is>
          <t>Neurex Growth Rate</t>
        </is>
      </c>
      <c r="C5" t="inlineStr">
        <is>
          <t>%</t>
        </is>
      </c>
      <c r="D5" s="6" t="n">
        <v>0.15</v>
      </c>
      <c r="E5" s="6" t="n">
        <v>0.12</v>
      </c>
      <c r="F5" s="6" t="n">
        <v>0.08</v>
      </c>
      <c r="G5" s="7" t="n">
        <v>0.06</v>
      </c>
      <c r="H5" s="7" t="n">
        <v>0.04</v>
      </c>
      <c r="I5" s="7" t="n">
        <v>0.03</v>
      </c>
      <c r="J5" s="7" t="n">
        <v>0.02</v>
      </c>
      <c r="K5" s="7" t="n">
        <v>0.01</v>
      </c>
    </row>
    <row r="6">
      <c r="B6" t="inlineStr">
        <is>
          <t>Oncovir Growth Rate</t>
        </is>
      </c>
      <c r="C6" t="inlineStr">
        <is>
          <t>%</t>
        </is>
      </c>
      <c r="D6" s="6" t="n">
        <v>0.25</v>
      </c>
      <c r="E6" s="6" t="n">
        <v>0.22</v>
      </c>
      <c r="F6" s="6" t="n">
        <v>0.18</v>
      </c>
      <c r="G6" s="7" t="n">
        <v>0.15</v>
      </c>
      <c r="H6" s="7" t="n">
        <v>0.12</v>
      </c>
      <c r="I6" s="7" t="n">
        <v>0.1</v>
      </c>
      <c r="J6" s="7" t="n">
        <v>0.08</v>
      </c>
      <c r="K6" s="7" t="n">
        <v>0.06</v>
      </c>
    </row>
    <row r="7">
      <c r="B7" t="inlineStr">
        <is>
          <t>Hemaguard Growth Rate</t>
        </is>
      </c>
      <c r="C7" t="inlineStr">
        <is>
          <t>%</t>
        </is>
      </c>
      <c r="D7" s="6" t="n">
        <v>0.1</v>
      </c>
      <c r="E7" s="6" t="n">
        <v>0.08</v>
      </c>
      <c r="F7" s="6" t="n">
        <v>0.05</v>
      </c>
      <c r="G7" s="7" t="n">
        <v>0.03</v>
      </c>
      <c r="H7" s="7" t="n">
        <v>0.02</v>
      </c>
      <c r="I7" s="7" t="n">
        <v>0.01</v>
      </c>
      <c r="J7" s="7" t="n">
        <v>0</v>
      </c>
      <c r="K7" s="7" t="n">
        <v>-0.02</v>
      </c>
    </row>
    <row r="8">
      <c r="B8" t="inlineStr">
        <is>
          <t>Cardioshield Growth Rate</t>
        </is>
      </c>
      <c r="C8" t="inlineStr">
        <is>
          <t>%</t>
        </is>
      </c>
      <c r="E8" s="6" t="n">
        <v>0.8</v>
      </c>
      <c r="F8" s="6" t="n">
        <v>0.35</v>
      </c>
      <c r="G8" s="7" t="n">
        <v>0.25</v>
      </c>
      <c r="H8" s="7" t="n">
        <v>0.18</v>
      </c>
      <c r="I8" s="7" t="n">
        <v>0.12</v>
      </c>
      <c r="J8" s="7" t="n">
        <v>0.08</v>
      </c>
      <c r="K8" s="7" t="n">
        <v>0.05</v>
      </c>
    </row>
    <row r="9">
      <c r="B9" t="inlineStr">
        <is>
          <t>Dermaclear Growth Rate</t>
        </is>
      </c>
      <c r="C9" t="inlineStr">
        <is>
          <t>%</t>
        </is>
      </c>
      <c r="F9" s="6" t="n">
        <v>1.5</v>
      </c>
      <c r="G9" s="7" t="n">
        <v>0.4</v>
      </c>
      <c r="H9" s="7" t="n">
        <v>0.3</v>
      </c>
      <c r="I9" s="7" t="n">
        <v>0.22</v>
      </c>
      <c r="J9" s="7" t="n">
        <v>0.15</v>
      </c>
      <c r="K9" s="7" t="n">
        <v>0.1</v>
      </c>
    </row>
    <row r="10">
      <c r="B10" t="inlineStr">
        <is>
          <t>Respiron Growth Rate</t>
        </is>
      </c>
      <c r="C10" t="inlineStr">
        <is>
          <t>%</t>
        </is>
      </c>
      <c r="G10" s="7" t="n">
        <v>0.6</v>
      </c>
      <c r="H10" s="7" t="n">
        <v>0.45</v>
      </c>
      <c r="I10" s="7" t="n">
        <v>0.35</v>
      </c>
      <c r="J10" s="7" t="n">
        <v>0.25</v>
      </c>
      <c r="K10" s="7" t="n">
        <v>0.18</v>
      </c>
    </row>
    <row r="12">
      <c r="B12" s="5" t="inlineStr">
        <is>
          <t>MARGIN ASSUMPTIONS</t>
        </is>
      </c>
    </row>
    <row r="13">
      <c r="B13" t="inlineStr">
        <is>
          <t>Gross Margin</t>
        </is>
      </c>
      <c r="C13" t="inlineStr">
        <is>
          <t>%</t>
        </is>
      </c>
      <c r="D13" s="6" t="n">
        <v>0.72</v>
      </c>
      <c r="E13" s="6" t="n">
        <v>0.73</v>
      </c>
      <c r="F13" s="6" t="n">
        <v>0.74</v>
      </c>
      <c r="G13" s="7" t="n">
        <v>0.745</v>
      </c>
      <c r="H13" s="7" t="n">
        <v>0.75</v>
      </c>
      <c r="I13" s="7" t="n">
        <v>0.755</v>
      </c>
      <c r="J13" s="7" t="n">
        <v>0.76</v>
      </c>
      <c r="K13" s="7" t="n">
        <v>0.765</v>
      </c>
    </row>
    <row r="14">
      <c r="B14" t="inlineStr">
        <is>
          <t>R&amp;D % of Revenue</t>
        </is>
      </c>
      <c r="C14" t="inlineStr">
        <is>
          <t>%</t>
        </is>
      </c>
      <c r="D14" s="6" t="n">
        <v>0.18</v>
      </c>
      <c r="E14" s="6" t="n">
        <v>0.17</v>
      </c>
      <c r="F14" s="6" t="n">
        <v>0.16</v>
      </c>
      <c r="G14" s="7" t="n">
        <v>0.155</v>
      </c>
      <c r="H14" s="7" t="n">
        <v>0.15</v>
      </c>
      <c r="I14" s="7" t="n">
        <v>0.145</v>
      </c>
      <c r="J14" s="7" t="n">
        <v>0.14</v>
      </c>
      <c r="K14" s="7" t="n">
        <v>0.135</v>
      </c>
    </row>
    <row r="15">
      <c r="B15" t="inlineStr">
        <is>
          <t>SG&amp;A % of Revenue</t>
        </is>
      </c>
      <c r="C15" t="inlineStr">
        <is>
          <t>%</t>
        </is>
      </c>
      <c r="D15" s="6" t="n">
        <v>0.28</v>
      </c>
      <c r="E15" s="6" t="n">
        <v>0.27</v>
      </c>
      <c r="F15" s="6" t="n">
        <v>0.26</v>
      </c>
      <c r="G15" s="7" t="n">
        <v>0.25</v>
      </c>
      <c r="H15" s="7" t="n">
        <v>0.24</v>
      </c>
      <c r="I15" s="7" t="n">
        <v>0.23</v>
      </c>
      <c r="J15" s="7" t="n">
        <v>0.22</v>
      </c>
      <c r="K15" s="7" t="n">
        <v>0.21</v>
      </c>
    </row>
    <row r="16">
      <c r="B16" t="inlineStr">
        <is>
          <t>D&amp;A % of Revenue</t>
        </is>
      </c>
      <c r="C16" t="inlineStr">
        <is>
          <t>%</t>
        </is>
      </c>
      <c r="D16" s="6" t="n">
        <v>0.04</v>
      </c>
      <c r="E16" s="6" t="n">
        <v>0.04</v>
      </c>
      <c r="F16" s="6" t="n">
        <v>0.04</v>
      </c>
      <c r="G16" s="7" t="n">
        <v>0.04</v>
      </c>
      <c r="H16" s="7" t="n">
        <v>0.04</v>
      </c>
      <c r="I16" s="7" t="n">
        <v>0.04</v>
      </c>
      <c r="J16" s="7" t="n">
        <v>0.04</v>
      </c>
      <c r="K16" s="7" t="n">
        <v>0.04</v>
      </c>
    </row>
    <row r="19">
      <c r="B19" s="5" t="inlineStr">
        <is>
          <t>BALANCE SHEET ASSUMPTIONS</t>
        </is>
      </c>
    </row>
    <row r="20">
      <c r="B20" t="inlineStr">
        <is>
          <t>Days Sales Outstanding</t>
        </is>
      </c>
      <c r="C20" t="inlineStr">
        <is>
          <t>days</t>
        </is>
      </c>
      <c r="D20" t="n">
        <v>55</v>
      </c>
      <c r="E20" t="n">
        <v>52</v>
      </c>
      <c r="F20" t="n">
        <v>50</v>
      </c>
      <c r="G20" s="8" t="n">
        <v>48</v>
      </c>
      <c r="H20" s="8" t="n">
        <v>46</v>
      </c>
      <c r="I20" s="8" t="n">
        <v>45</v>
      </c>
      <c r="J20" s="8" t="n">
        <v>44</v>
      </c>
      <c r="K20" s="8" t="n">
        <v>43</v>
      </c>
    </row>
    <row r="21">
      <c r="B21" t="inlineStr">
        <is>
          <t>Days Inventory</t>
        </is>
      </c>
      <c r="C21" t="inlineStr">
        <is>
          <t>days</t>
        </is>
      </c>
      <c r="D21" t="n">
        <v>90</v>
      </c>
      <c r="E21" t="n">
        <v>88</v>
      </c>
      <c r="F21" t="n">
        <v>85</v>
      </c>
      <c r="G21" s="8" t="n">
        <v>82</v>
      </c>
      <c r="H21" s="8" t="n">
        <v>80</v>
      </c>
      <c r="I21" s="8" t="n">
        <v>78</v>
      </c>
      <c r="J21" s="8" t="n">
        <v>76</v>
      </c>
      <c r="K21" s="8" t="n">
        <v>75</v>
      </c>
    </row>
    <row r="22">
      <c r="B22" t="inlineStr">
        <is>
          <t>Days Payable</t>
        </is>
      </c>
      <c r="C22" t="inlineStr">
        <is>
          <t>days</t>
        </is>
      </c>
      <c r="D22" t="n">
        <v>45</v>
      </c>
      <c r="E22" t="n">
        <v>48</v>
      </c>
      <c r="F22" t="n">
        <v>50</v>
      </c>
      <c r="G22" s="8" t="n">
        <v>52</v>
      </c>
      <c r="H22" s="8" t="n">
        <v>54</v>
      </c>
      <c r="I22" s="8" t="n">
        <v>55</v>
      </c>
      <c r="J22" s="8" t="n">
        <v>56</v>
      </c>
      <c r="K22" s="8" t="n">
        <v>57</v>
      </c>
    </row>
    <row r="23">
      <c r="B23" t="inlineStr">
        <is>
          <t>CapEx % of Revenue</t>
        </is>
      </c>
      <c r="C23" t="inlineStr">
        <is>
          <t>%</t>
        </is>
      </c>
      <c r="D23" s="6" t="n">
        <v>0.05</v>
      </c>
      <c r="E23" s="6" t="n">
        <v>0.05</v>
      </c>
      <c r="F23" s="6" t="n">
        <v>0.05</v>
      </c>
      <c r="G23" s="7" t="n">
        <v>0.045</v>
      </c>
      <c r="H23" s="7" t="n">
        <v>0.045</v>
      </c>
      <c r="I23" s="7" t="n">
        <v>0.04</v>
      </c>
      <c r="J23" s="7" t="n">
        <v>0.04</v>
      </c>
      <c r="K23" s="7" t="n">
        <v>0.04</v>
      </c>
    </row>
    <row r="26">
      <c r="B26" s="5" t="inlineStr">
        <is>
          <t>TAX &amp; OTHER</t>
        </is>
      </c>
    </row>
    <row r="27">
      <c r="B27" t="inlineStr">
        <is>
          <t>Effective Tax Rate</t>
        </is>
      </c>
      <c r="C27" t="inlineStr">
        <is>
          <t>%</t>
        </is>
      </c>
      <c r="D27" s="6" t="n">
        <v>0.21</v>
      </c>
      <c r="E27" s="6" t="n">
        <v>0.21</v>
      </c>
      <c r="F27" s="6" t="n">
        <v>0.21</v>
      </c>
      <c r="G27" s="6" t="n">
        <v>0.21</v>
      </c>
      <c r="H27" s="6" t="n">
        <v>0.21</v>
      </c>
      <c r="I27" s="6" t="n">
        <v>0.21</v>
      </c>
      <c r="J27" s="6" t="n">
        <v>0.21</v>
      </c>
      <c r="K27" s="6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4" t="inlineStr"/>
      <c r="C2" s="4" t="inlineStr"/>
      <c r="D2" s="4" t="inlineStr">
        <is>
          <t>2021A</t>
        </is>
      </c>
      <c r="E2" s="4" t="inlineStr">
        <is>
          <t>2022A</t>
        </is>
      </c>
      <c r="F2" s="4" t="inlineStr">
        <is>
          <t>2023A</t>
        </is>
      </c>
      <c r="G2" s="4" t="inlineStr">
        <is>
          <t>2024E</t>
        </is>
      </c>
      <c r="H2" s="4" t="inlineStr">
        <is>
          <t>2025E</t>
        </is>
      </c>
      <c r="I2" s="4" t="inlineStr">
        <is>
          <t>2026E</t>
        </is>
      </c>
      <c r="J2" s="4" t="inlineStr">
        <is>
          <t>2027E</t>
        </is>
      </c>
      <c r="K2" s="4" t="inlineStr">
        <is>
          <t>2028E</t>
        </is>
      </c>
    </row>
    <row r="4">
      <c r="B4" s="5" t="inlineStr">
        <is>
          <t>PRODUCT REVENUE ($M)</t>
        </is>
      </c>
    </row>
    <row r="5">
      <c r="B5" t="inlineStr">
        <is>
          <t>Neurex</t>
        </is>
      </c>
      <c r="D5" s="9" t="n">
        <v>650</v>
      </c>
      <c r="E5" s="9" t="n">
        <v>728</v>
      </c>
      <c r="F5" s="9" t="n">
        <v>786</v>
      </c>
      <c r="G5" s="9">
        <f>F5*(1+Assumptions!G5)</f>
        <v/>
      </c>
      <c r="H5" s="9" t="n">
        <v>866</v>
      </c>
      <c r="I5" s="9">
        <f>H5*(1+Assumptions!I5)</f>
        <v/>
      </c>
      <c r="J5" s="9">
        <f>I5*(1+Assumptions!J5)</f>
        <v/>
      </c>
      <c r="K5" s="9">
        <f>J5*(1+Assumptions!K5)</f>
        <v/>
      </c>
    </row>
    <row r="6">
      <c r="B6" t="inlineStr">
        <is>
          <t>Oncovir</t>
        </is>
      </c>
      <c r="D6" s="9" t="n">
        <v>380</v>
      </c>
      <c r="E6" s="9" t="n">
        <v>475</v>
      </c>
      <c r="F6" s="9" t="n">
        <v>561</v>
      </c>
      <c r="G6" s="9">
        <f>F6*(1+Assumptions!G6)</f>
        <v/>
      </c>
      <c r="H6" s="9">
        <f>G6*(1+Assumptions!H6)</f>
        <v/>
      </c>
      <c r="I6" s="9">
        <f>H6*(1+Assumptions!I6)</f>
        <v/>
      </c>
      <c r="J6" s="9">
        <f>I6*(1+Assumptions!J6)</f>
        <v/>
      </c>
      <c r="K6" s="9">
        <f>J6*(1+Assumptions!K6)</f>
        <v/>
      </c>
    </row>
    <row r="7">
      <c r="B7" t="inlineStr">
        <is>
          <t>Hemaguard</t>
        </is>
      </c>
      <c r="D7" s="9" t="n">
        <v>480</v>
      </c>
      <c r="E7" s="9" t="n">
        <v>518</v>
      </c>
      <c r="F7" s="9" t="n">
        <v>544</v>
      </c>
      <c r="G7" s="9">
        <f>F7*(1+Assumptions!G7)</f>
        <v/>
      </c>
      <c r="H7" s="9">
        <f>G7*(1+Assumptions!H7)</f>
        <v/>
      </c>
      <c r="I7" s="9">
        <f>H7*(1+Assumptions!I7)</f>
        <v/>
      </c>
      <c r="J7" s="9">
        <f>I7*(1+Assumptions!J7)</f>
        <v/>
      </c>
      <c r="K7" s="9">
        <f>J7*(1+Assumptions!K7)</f>
        <v/>
      </c>
    </row>
    <row r="8">
      <c r="B8" t="inlineStr">
        <is>
          <t>Cardioshield</t>
        </is>
      </c>
      <c r="D8" s="9" t="n">
        <v>180</v>
      </c>
      <c r="E8" s="9" t="n">
        <v>324</v>
      </c>
      <c r="F8" s="9" t="n">
        <v>437</v>
      </c>
      <c r="G8" s="9">
        <f>F8*(1+Assumptions!G8)</f>
        <v/>
      </c>
      <c r="H8" s="9">
        <f>G8*(1+Assumptions!H8)</f>
        <v/>
      </c>
      <c r="I8" s="9">
        <f>H8*(1+Assumptions!I8)</f>
        <v/>
      </c>
      <c r="J8" s="9">
        <f>I8*(1+Assumptions!J8)</f>
        <v/>
      </c>
      <c r="K8" s="9">
        <f>J8*(1+Assumptions!K8)</f>
        <v/>
      </c>
    </row>
    <row r="9">
      <c r="B9" t="inlineStr">
        <is>
          <t>Dermaclear</t>
        </is>
      </c>
      <c r="D9" s="9" t="n">
        <v>0</v>
      </c>
      <c r="E9" s="9" t="n">
        <v>85</v>
      </c>
      <c r="F9" s="9" t="n">
        <v>212</v>
      </c>
      <c r="G9" s="9">
        <f>F9*(1+Assumptions!G9)</f>
        <v/>
      </c>
      <c r="H9" s="9">
        <f>G9*(1+Assumptions!H9)</f>
        <v/>
      </c>
      <c r="I9" s="9">
        <f>H9*(1+Assumptions!I9)</f>
        <v/>
      </c>
      <c r="J9" s="9">
        <f>I9*(1+Assumptions!J9)</f>
        <v/>
      </c>
      <c r="K9" s="9">
        <f>J9*(1+Assumptions!K9)</f>
        <v/>
      </c>
    </row>
    <row r="10">
      <c r="B10" t="inlineStr">
        <is>
          <t>Respiron</t>
        </is>
      </c>
      <c r="D10" s="9" t="n">
        <v>0</v>
      </c>
      <c r="E10" s="9" t="n">
        <v>0</v>
      </c>
      <c r="F10" s="9" t="n">
        <v>160</v>
      </c>
      <c r="G10" s="9">
        <f>F10*(1+Assumptions!G10)</f>
        <v/>
      </c>
      <c r="H10" s="9">
        <f>G10*(1+Assumptions!H10)</f>
        <v/>
      </c>
      <c r="I10" s="9">
        <f>H10*(1+Assumptions!I10)</f>
        <v/>
      </c>
      <c r="J10" s="9">
        <f>I10*(1+Assumptions!J10)</f>
        <v/>
      </c>
      <c r="K10" s="9">
        <f>J10*(1+Assumptions!K10)</f>
        <v/>
      </c>
    </row>
    <row r="12">
      <c r="B12" s="10" t="inlineStr">
        <is>
          <t>Total Revenue</t>
        </is>
      </c>
      <c r="D12" s="11">
        <f>SUM(D5:D10)</f>
        <v/>
      </c>
      <c r="E12" s="11">
        <f>SUM(E5:E10)</f>
        <v/>
      </c>
      <c r="F12" s="11">
        <f>SUM(F5:F10)</f>
        <v/>
      </c>
      <c r="G12" s="11">
        <f>SUM(G5:G10)</f>
        <v/>
      </c>
      <c r="H12" s="11">
        <f>SUM(H5:H10)</f>
        <v/>
      </c>
      <c r="I12" s="11">
        <f>SUM(I5:I10)</f>
        <v/>
      </c>
      <c r="J12" s="11">
        <f>SUM(J5:J10)</f>
        <v/>
      </c>
      <c r="K12" s="11">
        <f>SUM(K5:K10)</f>
        <v/>
      </c>
    </row>
    <row r="14">
      <c r="B14" t="inlineStr">
        <is>
          <t>YoY Growth %</t>
        </is>
      </c>
      <c r="D14" t="inlineStr">
        <is>
          <t>N/A</t>
        </is>
      </c>
      <c r="E14" s="6">
        <f>E12/D12-1</f>
        <v/>
      </c>
      <c r="F14" s="6">
        <f>F12/E12-1</f>
        <v/>
      </c>
      <c r="G14" s="6">
        <f>G12/F12-1</f>
        <v/>
      </c>
      <c r="H14" s="6">
        <f>H12/G12-1</f>
        <v/>
      </c>
      <c r="I14" s="6">
        <f>I12/H12-1</f>
        <v/>
      </c>
      <c r="J14" s="6">
        <f>J12/I12-1</f>
        <v/>
      </c>
      <c r="K14" s="6">
        <f>K12/J12-1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4" t="inlineStr"/>
      <c r="C2" s="4" t="inlineStr"/>
      <c r="D2" s="4" t="inlineStr">
        <is>
          <t>2021A</t>
        </is>
      </c>
      <c r="E2" s="4" t="inlineStr">
        <is>
          <t>2022A</t>
        </is>
      </c>
      <c r="F2" s="4" t="inlineStr">
        <is>
          <t>2023A</t>
        </is>
      </c>
      <c r="G2" s="4" t="inlineStr">
        <is>
          <t>2024E</t>
        </is>
      </c>
      <c r="H2" s="4" t="inlineStr">
        <is>
          <t>2025E</t>
        </is>
      </c>
      <c r="I2" s="4" t="inlineStr">
        <is>
          <t>2026E</t>
        </is>
      </c>
      <c r="J2" s="4" t="inlineStr">
        <is>
          <t>2027E</t>
        </is>
      </c>
      <c r="K2" s="4" t="inlineStr">
        <is>
          <t>2028E</t>
        </is>
      </c>
    </row>
    <row r="4">
      <c r="B4" s="5" t="inlineStr">
        <is>
          <t>INCOME STATEMENT ($M)</t>
        </is>
      </c>
    </row>
    <row r="6">
      <c r="B6" t="inlineStr">
        <is>
          <t>Revenue</t>
        </is>
      </c>
      <c r="D6" s="9">
        <f>Revenue!D12</f>
        <v/>
      </c>
      <c r="E6" s="9">
        <f>Revenue!E12</f>
        <v/>
      </c>
      <c r="F6" s="9">
        <f>Revenue!F12</f>
        <v/>
      </c>
      <c r="G6" s="9">
        <f>Revenue!G12</f>
        <v/>
      </c>
      <c r="H6" s="9">
        <f>Revenue!H12</f>
        <v/>
      </c>
      <c r="I6" s="9">
        <f>Revenue!I12</f>
        <v/>
      </c>
      <c r="J6" s="9">
        <f>Revenue!J12</f>
        <v/>
      </c>
      <c r="K6" s="9">
        <f>Revenue!K12</f>
        <v/>
      </c>
    </row>
    <row r="7">
      <c r="B7" t="inlineStr">
        <is>
          <t>Cost of Goods Sold</t>
        </is>
      </c>
      <c r="D7" s="9">
        <f>-D6*(1-Assumptions!D13)</f>
        <v/>
      </c>
      <c r="E7" s="9">
        <f>-E6*(1-Assumptions!E13)</f>
        <v/>
      </c>
      <c r="F7" s="9">
        <f>-F6*(1-Assumptions!F13)</f>
        <v/>
      </c>
      <c r="G7" s="9">
        <f>-G6*(1-Assumptions!G13)</f>
        <v/>
      </c>
      <c r="H7" s="9">
        <f>-H6*(1-Assumptions!H13)</f>
        <v/>
      </c>
      <c r="I7" s="9">
        <f>-I6*(1-Assumptions!I13)</f>
        <v/>
      </c>
      <c r="J7" s="9">
        <f>-J6*(1-Assumptions!J13)</f>
        <v/>
      </c>
      <c r="K7" s="9">
        <f>-K6*(1-Assumptions!K13)</f>
        <v/>
      </c>
    </row>
    <row r="8">
      <c r="B8" s="10" t="inlineStr">
        <is>
          <t>Gross Profit</t>
        </is>
      </c>
      <c r="D8" s="9">
        <f>D6+D7</f>
        <v/>
      </c>
      <c r="E8" s="9">
        <f>E6+E7</f>
        <v/>
      </c>
      <c r="F8" s="9">
        <f>F6+F7</f>
        <v/>
      </c>
      <c r="G8" s="9">
        <f>G6+G7</f>
        <v/>
      </c>
      <c r="H8" s="9">
        <f>H6+H7</f>
        <v/>
      </c>
      <c r="I8" s="9">
        <f>I6+I7</f>
        <v/>
      </c>
      <c r="J8" s="9">
        <f>J6+J7</f>
        <v/>
      </c>
      <c r="K8" s="9">
        <f>K6+K7</f>
        <v/>
      </c>
    </row>
    <row r="9">
      <c r="B9" t="inlineStr"/>
    </row>
    <row r="10">
      <c r="B10" t="inlineStr">
        <is>
          <t>R&amp;D Expense</t>
        </is>
      </c>
      <c r="D10" s="9">
        <f>-D6*Assumptions!D14</f>
        <v/>
      </c>
      <c r="E10" s="9">
        <f>-E6*Assumptions!E14</f>
        <v/>
      </c>
      <c r="F10" s="9">
        <f>-F6*Assumptions!F14</f>
        <v/>
      </c>
      <c r="G10" s="9">
        <f>-G6*Assumptions!G14</f>
        <v/>
      </c>
      <c r="H10" s="9">
        <f>-H6*Assumptions!H14</f>
        <v/>
      </c>
      <c r="I10" s="9">
        <f>-I6*Assumptions!I14</f>
        <v/>
      </c>
      <c r="J10" s="9">
        <f>-J6*Assumptions!J14</f>
        <v/>
      </c>
      <c r="K10" s="9">
        <f>-K6*Assumptions!K14</f>
        <v/>
      </c>
    </row>
    <row r="11">
      <c r="B11" t="inlineStr">
        <is>
          <t>SG&amp;A Expense</t>
        </is>
      </c>
      <c r="D11" s="9">
        <f>-D6*Assumptions!D15</f>
        <v/>
      </c>
      <c r="E11" s="9">
        <f>-E6*Assumptions!E15</f>
        <v/>
      </c>
      <c r="F11" s="9">
        <f>-F6*Assumptions!F15</f>
        <v/>
      </c>
      <c r="G11" s="9">
        <f>-G6*Assumptions!G15</f>
        <v/>
      </c>
      <c r="H11" s="9">
        <f>-H6*Assumptions!H15</f>
        <v/>
      </c>
      <c r="I11" s="9">
        <f>-I6*Assumptions!I15</f>
        <v/>
      </c>
      <c r="J11" s="9">
        <f>-J6*Assumptions!J15</f>
        <v/>
      </c>
      <c r="K11" s="9">
        <f>-K6*Assumptions!K15</f>
        <v/>
      </c>
    </row>
    <row r="12">
      <c r="B12" t="inlineStr">
        <is>
          <t>D&amp;A Expense</t>
        </is>
      </c>
      <c r="D12" s="9">
        <f>-D6*Assumptions!D16</f>
        <v/>
      </c>
      <c r="E12" s="9">
        <f>-E6*Assumptions!E16</f>
        <v/>
      </c>
      <c r="F12" s="9">
        <f>-F6*Assumptions!F16</f>
        <v/>
      </c>
      <c r="G12" s="9">
        <f>-G6*Assumptions!G16</f>
        <v/>
      </c>
      <c r="H12" s="9">
        <f>-H6*Assumptions!H16</f>
        <v/>
      </c>
      <c r="I12" s="9">
        <f>-I6*Assumptions!I16</f>
        <v/>
      </c>
      <c r="J12" s="9">
        <f>-J6*Assumptions!J16</f>
        <v/>
      </c>
      <c r="K12" s="9">
        <f>-K6*Assumptions!K16</f>
        <v/>
      </c>
    </row>
    <row r="13">
      <c r="B13" s="10" t="inlineStr">
        <is>
          <t>Operating Income (EBIT)</t>
        </is>
      </c>
      <c r="D13" s="9">
        <f>D8+D10+D11+D12</f>
        <v/>
      </c>
      <c r="E13" s="9">
        <f>E8+E10+E11+E12</f>
        <v/>
      </c>
      <c r="F13" s="9">
        <f>F8+F10+F11+F12</f>
        <v/>
      </c>
      <c r="G13" s="9">
        <f>G8+G10+G11+G12</f>
        <v/>
      </c>
      <c r="H13" s="9">
        <f>H8+H10+H11+H12</f>
        <v/>
      </c>
      <c r="I13" s="9">
        <f>I8+I10+I11+I12</f>
        <v/>
      </c>
      <c r="J13" s="9">
        <f>J8+J10+J11+J12</f>
        <v/>
      </c>
      <c r="K13" s="9">
        <f>K8+K10+K11+K12</f>
        <v/>
      </c>
    </row>
    <row r="14">
      <c r="B14" t="inlineStr"/>
    </row>
    <row r="15">
      <c r="B15" t="inlineStr">
        <is>
          <t>Interest Expense</t>
        </is>
      </c>
      <c r="D15" s="9" t="n">
        <v>-45</v>
      </c>
      <c r="E15" s="9" t="n">
        <v>-42</v>
      </c>
      <c r="F15" s="9" t="n">
        <v>-40</v>
      </c>
      <c r="G15" s="9" t="n">
        <v>-38</v>
      </c>
      <c r="H15" s="9" t="n">
        <v>-36</v>
      </c>
      <c r="I15" s="9" t="n">
        <v>-34</v>
      </c>
      <c r="J15" s="9" t="n">
        <v>-32</v>
      </c>
      <c r="K15" s="9" t="n">
        <v>-30</v>
      </c>
    </row>
    <row r="16">
      <c r="B16" t="inlineStr">
        <is>
          <t>Interest Income</t>
        </is>
      </c>
      <c r="D16" s="9" t="n">
        <v>5</v>
      </c>
      <c r="E16" s="9" t="n">
        <v>8</v>
      </c>
      <c r="F16" s="9" t="n">
        <v>12</v>
      </c>
      <c r="G16" s="9" t="n">
        <v>15</v>
      </c>
      <c r="H16" s="9" t="n">
        <v>18</v>
      </c>
      <c r="I16" s="9" t="n">
        <v>22</v>
      </c>
      <c r="J16" s="9" t="n">
        <v>26</v>
      </c>
      <c r="K16" s="9" t="n">
        <v>30</v>
      </c>
    </row>
    <row r="17">
      <c r="B17" s="10" t="inlineStr">
        <is>
          <t>Pre-Tax Income</t>
        </is>
      </c>
      <c r="D17" s="9">
        <f>D13+D15+D16</f>
        <v/>
      </c>
      <c r="E17" s="9">
        <f>E13+E15+E16</f>
        <v/>
      </c>
      <c r="F17" s="9">
        <f>F13+F15+F16</f>
        <v/>
      </c>
      <c r="G17" s="9">
        <f>G13+G15+G16</f>
        <v/>
      </c>
      <c r="H17" s="9">
        <f>H13+H15+H16</f>
        <v/>
      </c>
      <c r="I17" s="9">
        <f>I13+I15+I16</f>
        <v/>
      </c>
      <c r="J17" s="9">
        <f>J13+J15+J16</f>
        <v/>
      </c>
      <c r="K17" s="9">
        <f>K13+K15+K16</f>
        <v/>
      </c>
    </row>
    <row r="18">
      <c r="B18" t="inlineStr"/>
    </row>
    <row r="19">
      <c r="B19" t="inlineStr">
        <is>
          <t>Income Tax Expense</t>
        </is>
      </c>
      <c r="D19" s="9">
        <f>-D17*Assumptions!D27</f>
        <v/>
      </c>
      <c r="E19" s="9">
        <f>-E17*Assumptions!E27</f>
        <v/>
      </c>
      <c r="F19" s="9">
        <f>-F17*Assumptions!F27</f>
        <v/>
      </c>
      <c r="G19" s="9">
        <f>-G17*Assumptions!G27</f>
        <v/>
      </c>
      <c r="H19" s="9">
        <f>-H17*Assumptions!H27</f>
        <v/>
      </c>
      <c r="I19" s="9">
        <f>-I17*Assumptions!I27</f>
        <v/>
      </c>
      <c r="J19" s="9">
        <f>-J17*Assumptions!J27</f>
        <v/>
      </c>
      <c r="K19" s="9">
        <f>-K17*Assumptions!K27</f>
        <v/>
      </c>
    </row>
    <row r="20">
      <c r="B20" s="10" t="inlineStr">
        <is>
          <t>Net Income</t>
        </is>
      </c>
      <c r="D20" s="9">
        <f>D17+D19</f>
        <v/>
      </c>
      <c r="E20" s="9">
        <f>E17+E19</f>
        <v/>
      </c>
      <c r="F20" s="9">
        <f>F17+F19</f>
        <v/>
      </c>
      <c r="G20" s="9">
        <f>G17+G19</f>
        <v/>
      </c>
      <c r="H20" s="9">
        <f>H17+H19</f>
        <v/>
      </c>
      <c r="I20" s="9">
        <f>I17+I19</f>
        <v/>
      </c>
      <c r="J20" s="9">
        <f>J17+J19</f>
        <v/>
      </c>
      <c r="K20" s="9">
        <f>K17+K19</f>
        <v/>
      </c>
    </row>
    <row r="22">
      <c r="B22" s="5" t="inlineStr">
        <is>
          <t>MARGINS</t>
        </is>
      </c>
    </row>
    <row r="23">
      <c r="B23" t="inlineStr">
        <is>
          <t>Gross Margin</t>
        </is>
      </c>
      <c r="D23" s="6">
        <f>D8/D6</f>
        <v/>
      </c>
      <c r="E23" s="6">
        <f>E8/E6</f>
        <v/>
      </c>
      <c r="F23" s="6">
        <f>F8/F6</f>
        <v/>
      </c>
      <c r="G23" s="6">
        <f>G8/G6</f>
        <v/>
      </c>
      <c r="H23" s="6">
        <f>H8/H6</f>
        <v/>
      </c>
      <c r="I23" s="6">
        <f>I8/I6</f>
        <v/>
      </c>
      <c r="J23" s="6">
        <f>J8/J6</f>
        <v/>
      </c>
      <c r="K23" s="6">
        <f>K8/K6</f>
        <v/>
      </c>
    </row>
    <row r="24">
      <c r="B24" t="inlineStr">
        <is>
          <t>R&amp;D Margin</t>
        </is>
      </c>
      <c r="D24" s="6">
        <f>-D10/D6</f>
        <v/>
      </c>
      <c r="E24" s="6">
        <f>-E10/E6</f>
        <v/>
      </c>
      <c r="F24" s="6">
        <f>-F10/F6</f>
        <v/>
      </c>
      <c r="G24" s="6">
        <f>-G10/G6</f>
        <v/>
      </c>
      <c r="H24" s="6">
        <f>-H10/H6</f>
        <v/>
      </c>
      <c r="I24" s="6">
        <f>-I10/I6</f>
        <v/>
      </c>
      <c r="J24" s="6">
        <f>-J10/J6</f>
        <v/>
      </c>
      <c r="K24" s="6">
        <f>-K10/K6</f>
        <v/>
      </c>
    </row>
    <row r="25">
      <c r="B25" t="inlineStr">
        <is>
          <t>SG&amp;A Margin</t>
        </is>
      </c>
      <c r="D25" s="6">
        <f>-D11/D6</f>
        <v/>
      </c>
      <c r="E25" s="6">
        <f>-E11/E6</f>
        <v/>
      </c>
      <c r="F25" s="6">
        <f>-F11/F6</f>
        <v/>
      </c>
      <c r="G25" s="6">
        <f>-G11/G6</f>
        <v/>
      </c>
      <c r="H25" s="6">
        <f>-H11/H6</f>
        <v/>
      </c>
      <c r="I25" s="6">
        <f>-I11/I6</f>
        <v/>
      </c>
      <c r="J25" s="6">
        <f>-J11/J6</f>
        <v/>
      </c>
      <c r="K25" s="6">
        <f>-K11/K6</f>
        <v/>
      </c>
    </row>
    <row r="26">
      <c r="B26" t="inlineStr">
        <is>
          <t>Operating Margin</t>
        </is>
      </c>
      <c r="D26" s="6">
        <f>D13/D6</f>
        <v/>
      </c>
      <c r="E26" s="6">
        <f>E13/E6</f>
        <v/>
      </c>
      <c r="F26" s="6">
        <f>F13/F6</f>
        <v/>
      </c>
      <c r="G26" s="6">
        <f>G13/G6</f>
        <v/>
      </c>
      <c r="H26" s="6">
        <f>H13/H6</f>
        <v/>
      </c>
      <c r="I26" s="6">
        <f>I13/I6</f>
        <v/>
      </c>
      <c r="J26" s="6">
        <f>J13/J6</f>
        <v/>
      </c>
      <c r="K26" s="6">
        <f>K13/K6</f>
        <v/>
      </c>
    </row>
    <row r="27">
      <c r="B27" t="inlineStr">
        <is>
          <t>Net Margin</t>
        </is>
      </c>
      <c r="D27" s="6">
        <f>D20/D6</f>
        <v/>
      </c>
      <c r="E27" s="6">
        <f>E20/E6</f>
        <v/>
      </c>
      <c r="F27" s="6">
        <f>F20/F6</f>
        <v/>
      </c>
      <c r="G27" s="6">
        <f>G20/G6</f>
        <v/>
      </c>
      <c r="H27" s="6">
        <f>H20/H6</f>
        <v/>
      </c>
      <c r="I27" s="6">
        <f>I20/I6</f>
        <v/>
      </c>
      <c r="J27" s="6">
        <f>J20/J6</f>
        <v/>
      </c>
      <c r="K27" s="6">
        <f>K20/K6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8"/>
  <sheetViews>
    <sheetView workbookViewId="0">
      <selection activeCell="A1" sqref="A1"/>
    </sheetView>
  </sheetViews>
  <sheetFormatPr baseColWidth="8" defaultRowHeight="15"/>
  <cols>
    <col width="28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4" t="inlineStr"/>
      <c r="C2" s="4" t="inlineStr"/>
      <c r="D2" s="4" t="inlineStr">
        <is>
          <t>2021A</t>
        </is>
      </c>
      <c r="E2" s="4" t="inlineStr">
        <is>
          <t>2022A</t>
        </is>
      </c>
      <c r="F2" s="4" t="inlineStr">
        <is>
          <t>2023A</t>
        </is>
      </c>
      <c r="G2" s="4" t="inlineStr">
        <is>
          <t>2024E</t>
        </is>
      </c>
      <c r="H2" s="4" t="inlineStr">
        <is>
          <t>2025E</t>
        </is>
      </c>
      <c r="I2" s="4" t="inlineStr">
        <is>
          <t>2026E</t>
        </is>
      </c>
      <c r="J2" s="4" t="inlineStr">
        <is>
          <t>2027E</t>
        </is>
      </c>
      <c r="K2" s="4" t="inlineStr">
        <is>
          <t>2028E</t>
        </is>
      </c>
    </row>
    <row r="4">
      <c r="B4" s="5" t="inlineStr">
        <is>
          <t>BALANCE SHEET ($M)</t>
        </is>
      </c>
    </row>
    <row r="6">
      <c r="B6" s="10" t="inlineStr">
        <is>
          <t>ASSETS</t>
        </is>
      </c>
    </row>
    <row r="7">
      <c r="B7" t="inlineStr">
        <is>
          <t>Cash &amp; Equivalents</t>
        </is>
      </c>
      <c r="D7" s="9" t="n">
        <v>450</v>
      </c>
      <c r="E7" s="9" t="n">
        <v>580</v>
      </c>
      <c r="F7" s="9" t="n">
        <v>720</v>
      </c>
      <c r="G7" s="9">
        <f>F7+CF!G28</f>
        <v/>
      </c>
      <c r="H7" s="9">
        <f>G7+CF!H28</f>
        <v/>
      </c>
      <c r="I7" s="9">
        <f>H7+CF!I28</f>
        <v/>
      </c>
      <c r="J7" s="9">
        <f>I7+CF!J28</f>
        <v/>
      </c>
      <c r="K7" s="9">
        <f>J7+CF!K28</f>
        <v/>
      </c>
    </row>
    <row r="8">
      <c r="B8" t="inlineStr">
        <is>
          <t>Accounts Receivable</t>
        </is>
      </c>
      <c r="D8" s="9" t="n">
        <v>260</v>
      </c>
      <c r="E8" s="9" t="n">
        <v>295</v>
      </c>
      <c r="F8" s="9" t="n">
        <v>342</v>
      </c>
      <c r="G8" s="9">
        <f>Revenue!G12*Assumptions!G20/365</f>
        <v/>
      </c>
      <c r="H8" s="9">
        <f>Revenue!H12*Assumptions!H20/365</f>
        <v/>
      </c>
      <c r="I8" s="9">
        <f>Revenue!I12*Assumptions!I20/365</f>
        <v/>
      </c>
      <c r="J8" s="9">
        <f>Revenue!J12*Assumptions!J20/365</f>
        <v/>
      </c>
      <c r="K8" s="9">
        <f>Revenue!K12*Assumptions!K20/365</f>
        <v/>
      </c>
    </row>
    <row r="9">
      <c r="B9" t="inlineStr">
        <is>
          <t>Inventory</t>
        </is>
      </c>
      <c r="D9" s="9" t="n">
        <v>380</v>
      </c>
      <c r="E9" s="9" t="n">
        <v>420</v>
      </c>
      <c r="F9" s="9" t="n">
        <v>465</v>
      </c>
      <c r="G9" s="9">
        <f>-IS!G7*Assumptions!G21/365</f>
        <v/>
      </c>
      <c r="H9" s="9">
        <f>-IS!H7*Assumptions!H21/365</f>
        <v/>
      </c>
      <c r="I9" s="9">
        <f>-IS!I7*Assumptions!I21/365</f>
        <v/>
      </c>
      <c r="J9" s="9">
        <f>-IS!J7*Assumptions!J21/365</f>
        <v/>
      </c>
      <c r="K9" s="9">
        <f>-IS!K7*Assumptions!K21/365</f>
        <v/>
      </c>
    </row>
    <row r="10">
      <c r="B10" t="inlineStr">
        <is>
          <t>Other Current Assets</t>
        </is>
      </c>
      <c r="D10" s="9" t="n">
        <v>50</v>
      </c>
      <c r="E10" s="9" t="n">
        <v>55</v>
      </c>
      <c r="F10" s="9" t="n">
        <v>60</v>
      </c>
      <c r="G10" s="9" t="n">
        <v>65</v>
      </c>
      <c r="H10" s="9" t="n">
        <v>70</v>
      </c>
      <c r="I10" s="9" t="n">
        <v>75</v>
      </c>
      <c r="J10" s="9" t="n">
        <v>80</v>
      </c>
      <c r="K10" s="9" t="n">
        <v>85</v>
      </c>
    </row>
    <row r="11">
      <c r="B11" s="10" t="inlineStr">
        <is>
          <t>Total Current Assets</t>
        </is>
      </c>
      <c r="D11" s="11">
        <f>SUM(D7:D10)</f>
        <v/>
      </c>
      <c r="E11" s="11">
        <f>SUM(E7:E10)</f>
        <v/>
      </c>
      <c r="F11" s="11">
        <f>SUM(F7:F10)</f>
        <v/>
      </c>
      <c r="G11" s="11">
        <f>SUM(G7:G10)</f>
        <v/>
      </c>
      <c r="H11" s="11">
        <f>SUM(H7:H10)</f>
        <v/>
      </c>
      <c r="I11" s="11">
        <f>SUM(I7:I10)</f>
        <v/>
      </c>
      <c r="J11" s="11">
        <f>SUM(J7:J10)</f>
        <v/>
      </c>
      <c r="K11" s="11">
        <f>SUM(K7:K10)</f>
        <v/>
      </c>
    </row>
    <row r="13">
      <c r="B13" t="inlineStr">
        <is>
          <t>PP&amp;E, Net</t>
        </is>
      </c>
      <c r="D13" s="9" t="n">
        <v>320</v>
      </c>
      <c r="E13" s="9" t="n">
        <v>350</v>
      </c>
      <c r="F13" s="9" t="n">
        <v>385</v>
      </c>
      <c r="G13" s="9">
        <f>F13+Revenue!G12*Assumptions!G23+IS!G12</f>
        <v/>
      </c>
      <c r="H13" s="9">
        <f>G13+Revenue!H12*Assumptions!H23+IS!H12</f>
        <v/>
      </c>
      <c r="I13" s="9">
        <f>H13+Revenue!I12*Assumptions!I23+IS!I12</f>
        <v/>
      </c>
      <c r="J13" s="9">
        <f>I13+Revenue!J12*Assumptions!J23+IS!J12</f>
        <v/>
      </c>
      <c r="K13" s="9">
        <f>J13+Revenue!K12*Assumptions!K23+IS!K12</f>
        <v/>
      </c>
    </row>
    <row r="14">
      <c r="B14" t="inlineStr">
        <is>
          <t>Intangible Assets</t>
        </is>
      </c>
      <c r="D14" s="9" t="n">
        <v>850</v>
      </c>
      <c r="E14" s="9" t="n">
        <v>820</v>
      </c>
      <c r="F14" s="9" t="n">
        <v>790</v>
      </c>
      <c r="G14" s="9" t="n">
        <v>760</v>
      </c>
      <c r="H14" s="9" t="n">
        <v>730</v>
      </c>
      <c r="I14" s="9" t="n">
        <v>700</v>
      </c>
      <c r="J14" s="9" t="n">
        <v>670</v>
      </c>
      <c r="K14" s="9" t="n">
        <v>640</v>
      </c>
    </row>
    <row r="15">
      <c r="B15" t="inlineStr">
        <is>
          <t>Goodwill</t>
        </is>
      </c>
      <c r="D15" s="9" t="n">
        <v>420</v>
      </c>
      <c r="E15" s="9" t="n">
        <v>420</v>
      </c>
      <c r="F15" s="9" t="n">
        <v>420</v>
      </c>
      <c r="G15" s="9" t="n">
        <v>420</v>
      </c>
      <c r="H15" s="9" t="n">
        <v>420</v>
      </c>
      <c r="I15" s="9" t="n">
        <v>420</v>
      </c>
      <c r="J15" s="9" t="n">
        <v>420</v>
      </c>
      <c r="K15" s="9" t="n">
        <v>420</v>
      </c>
    </row>
    <row r="16">
      <c r="B16" s="10" t="inlineStr">
        <is>
          <t>Total Non-Current Assets</t>
        </is>
      </c>
      <c r="D16" s="11">
        <f>SUM(D13:D15)</f>
        <v/>
      </c>
      <c r="E16" s="11">
        <f>SUM(E13:E15)</f>
        <v/>
      </c>
      <c r="F16" s="11">
        <f>SUM(F13:F15)</f>
        <v/>
      </c>
      <c r="G16" s="11">
        <f>SUM(G13:G15)</f>
        <v/>
      </c>
      <c r="H16" s="11">
        <f>SUM(H13:H15)</f>
        <v/>
      </c>
      <c r="I16" s="11">
        <f>SUM(I13:I15)</f>
        <v/>
      </c>
      <c r="J16" s="11">
        <f>SUM(J13:J15)</f>
        <v/>
      </c>
      <c r="K16" s="11">
        <f>SUM(K13:K15)</f>
        <v/>
      </c>
    </row>
    <row r="18">
      <c r="B18" s="10" t="inlineStr">
        <is>
          <t>TOTAL ASSETS</t>
        </is>
      </c>
      <c r="D18" s="11">
        <f>D11+D16</f>
        <v/>
      </c>
      <c r="E18" s="11">
        <f>E11+E16</f>
        <v/>
      </c>
      <c r="F18" s="11">
        <f>F11+F16</f>
        <v/>
      </c>
      <c r="G18" s="11">
        <f>G11+G16</f>
        <v/>
      </c>
      <c r="H18" s="11">
        <f>H11+H16</f>
        <v/>
      </c>
      <c r="I18" s="11">
        <f>I11+I16</f>
        <v/>
      </c>
      <c r="J18" s="11">
        <f>J11+J16</f>
        <v/>
      </c>
      <c r="K18" s="11">
        <f>K11+K16</f>
        <v/>
      </c>
    </row>
    <row r="20">
      <c r="B20" s="10" t="inlineStr">
        <is>
          <t>LIABILITIES</t>
        </is>
      </c>
    </row>
    <row r="21">
      <c r="B21" t="inlineStr">
        <is>
          <t>Accounts Payable</t>
        </is>
      </c>
      <c r="D21" s="9" t="n">
        <v>170</v>
      </c>
      <c r="E21" s="9" t="n">
        <v>195</v>
      </c>
      <c r="F21" s="9" t="n">
        <v>220</v>
      </c>
      <c r="G21" s="9">
        <f>-IS!G7*Assumptions!G22/365</f>
        <v/>
      </c>
      <c r="H21" s="9">
        <f>-IS!H7*Assumptions!H22/365</f>
        <v/>
      </c>
      <c r="I21" s="9">
        <f>-IS!I7*Assumptions!I22/365</f>
        <v/>
      </c>
      <c r="J21" s="9">
        <f>-IS!J7*Assumptions!J22/365</f>
        <v/>
      </c>
      <c r="K21" s="9">
        <f>-IS!K7*Assumptions!K22/365</f>
        <v/>
      </c>
    </row>
    <row r="22">
      <c r="B22" t="inlineStr">
        <is>
          <t>Accrued Expenses</t>
        </is>
      </c>
      <c r="D22" s="9" t="n">
        <v>120</v>
      </c>
      <c r="E22" s="9" t="n">
        <v>130</v>
      </c>
      <c r="F22" s="9" t="n">
        <v>140</v>
      </c>
      <c r="G22" s="9" t="n">
        <v>150</v>
      </c>
      <c r="H22" s="9" t="n">
        <v>160</v>
      </c>
      <c r="I22" s="9" t="n">
        <v>170</v>
      </c>
      <c r="J22" s="9" t="n">
        <v>180</v>
      </c>
      <c r="K22" s="9" t="n">
        <v>190</v>
      </c>
    </row>
    <row r="23">
      <c r="B23" s="10" t="inlineStr">
        <is>
          <t>Total Current Liabilities</t>
        </is>
      </c>
      <c r="D23" s="11">
        <f>SUM(D21:D22)</f>
        <v/>
      </c>
      <c r="E23" s="11">
        <f>SUM(E21:E22)</f>
        <v/>
      </c>
      <c r="F23" s="11">
        <f>SUM(F21:F22)</f>
        <v/>
      </c>
      <c r="G23" s="11">
        <f>SUM(G21:G22)</f>
        <v/>
      </c>
      <c r="H23" s="11">
        <f>SUM(H21:H22)</f>
        <v/>
      </c>
      <c r="I23" s="11">
        <f>SUM(I21:I22)</f>
        <v/>
      </c>
      <c r="J23" s="11">
        <f>SUM(J21:J22)</f>
        <v/>
      </c>
      <c r="K23" s="11">
        <f>SUM(K21:K22)</f>
        <v/>
      </c>
    </row>
    <row r="25">
      <c r="B25" t="inlineStr">
        <is>
          <t>Long-term Debt</t>
        </is>
      </c>
      <c r="D25" s="9" t="n">
        <v>600</v>
      </c>
      <c r="E25" s="9" t="n">
        <v>550</v>
      </c>
      <c r="F25" s="9" t="n">
        <v>500</v>
      </c>
      <c r="G25" s="9" t="n">
        <v>450</v>
      </c>
      <c r="H25" s="9" t="n">
        <v>400</v>
      </c>
      <c r="I25" s="9" t="n">
        <v>350</v>
      </c>
      <c r="J25" s="9" t="n">
        <v>300</v>
      </c>
      <c r="K25" s="9" t="n">
        <v>250</v>
      </c>
    </row>
    <row r="26">
      <c r="B26" t="inlineStr">
        <is>
          <t>Other Long-term Liabilities</t>
        </is>
      </c>
      <c r="D26" s="9" t="n">
        <v>80</v>
      </c>
      <c r="E26" s="9" t="n">
        <v>80</v>
      </c>
      <c r="F26" s="9" t="n">
        <v>80</v>
      </c>
      <c r="G26" s="9" t="n">
        <v>80</v>
      </c>
      <c r="H26" s="9" t="n">
        <v>80</v>
      </c>
      <c r="I26" s="9" t="n">
        <v>80</v>
      </c>
      <c r="J26" s="9" t="n">
        <v>80</v>
      </c>
      <c r="K26" s="9" t="n">
        <v>80</v>
      </c>
    </row>
    <row r="27">
      <c r="B27" s="10" t="inlineStr">
        <is>
          <t>Total Long-term Liabilities</t>
        </is>
      </c>
      <c r="D27" s="11">
        <f>SUM(D25:D26)</f>
        <v/>
      </c>
      <c r="E27" s="11">
        <f>SUM(E25:E26)</f>
        <v/>
      </c>
      <c r="F27" s="11">
        <f>SUM(F25:F26)</f>
        <v/>
      </c>
      <c r="G27" s="11">
        <f>SUM(G25:G26)</f>
        <v/>
      </c>
      <c r="H27" s="11">
        <f>SUM(H25:H26)</f>
        <v/>
      </c>
      <c r="I27" s="11">
        <f>SUM(I25:I26)</f>
        <v/>
      </c>
      <c r="J27" s="11">
        <f>SUM(J25:J26)</f>
        <v/>
      </c>
      <c r="K27" s="11">
        <f>SUM(K25:K26)</f>
        <v/>
      </c>
    </row>
    <row r="29">
      <c r="B29" s="10" t="inlineStr">
        <is>
          <t>TOTAL LIABILITIES</t>
        </is>
      </c>
      <c r="D29" s="11">
        <f>D23+D27</f>
        <v/>
      </c>
      <c r="E29" s="11">
        <f>E23+E27</f>
        <v/>
      </c>
      <c r="F29" s="11">
        <f>F23+F27</f>
        <v/>
      </c>
      <c r="G29" s="11">
        <f>G23+G27</f>
        <v/>
      </c>
      <c r="H29" s="11">
        <f>H23+H27</f>
        <v/>
      </c>
      <c r="I29" s="11">
        <f>I23+I27</f>
        <v/>
      </c>
      <c r="J29" s="11">
        <f>J23+J27</f>
        <v/>
      </c>
      <c r="K29" s="11">
        <f>K23+K27</f>
        <v/>
      </c>
    </row>
    <row r="31">
      <c r="B31" s="10" t="inlineStr">
        <is>
          <t>EQUITY</t>
        </is>
      </c>
    </row>
    <row r="32">
      <c r="B32" t="inlineStr">
        <is>
          <t>Common Stock</t>
        </is>
      </c>
      <c r="D32" s="9" t="n">
        <v>200</v>
      </c>
      <c r="E32" s="9" t="n">
        <v>200</v>
      </c>
      <c r="F32" s="9" t="n">
        <v>200</v>
      </c>
      <c r="G32" s="9" t="n">
        <v>200</v>
      </c>
      <c r="H32" s="9" t="n">
        <v>200</v>
      </c>
      <c r="I32" s="9" t="n">
        <v>200</v>
      </c>
      <c r="J32" s="9" t="n">
        <v>200</v>
      </c>
      <c r="K32" s="9" t="n">
        <v>200</v>
      </c>
    </row>
    <row r="33">
      <c r="B33" t="inlineStr">
        <is>
          <t>Retained Earnings</t>
        </is>
      </c>
      <c r="D33" s="9" t="n">
        <v>890</v>
      </c>
      <c r="E33" s="9">
        <f>D33+IS!E20</f>
        <v/>
      </c>
      <c r="F33" s="9">
        <f>E33+IS!F20</f>
        <v/>
      </c>
      <c r="G33" s="9">
        <f>F33+IS!G20</f>
        <v/>
      </c>
      <c r="H33" s="9">
        <f>G33+IS!H20</f>
        <v/>
      </c>
      <c r="I33" s="9">
        <f>H33+IS!I20</f>
        <v/>
      </c>
      <c r="J33" s="9">
        <f>I33+IS!J20</f>
        <v/>
      </c>
      <c r="K33" s="9">
        <f>J33+IS!K20</f>
        <v/>
      </c>
    </row>
    <row r="34">
      <c r="B34" s="10" t="inlineStr">
        <is>
          <t>TOTAL EQUITY</t>
        </is>
      </c>
      <c r="D34" s="11">
        <f>D32+D33</f>
        <v/>
      </c>
      <c r="E34" s="11">
        <f>E32+E33</f>
        <v/>
      </c>
      <c r="F34" s="11">
        <f>F32+F33</f>
        <v/>
      </c>
      <c r="G34" s="11">
        <f>G32+G33</f>
        <v/>
      </c>
      <c r="H34" s="11">
        <f>H32+H33</f>
        <v/>
      </c>
      <c r="I34" s="11">
        <f>I32+I33</f>
        <v/>
      </c>
      <c r="J34" s="11">
        <f>J32+J33</f>
        <v/>
      </c>
      <c r="K34" s="11">
        <f>K32+K33</f>
        <v/>
      </c>
    </row>
    <row r="36">
      <c r="B36" s="10" t="inlineStr">
        <is>
          <t>TOTAL LIABILITIES &amp; EQUITY</t>
        </is>
      </c>
      <c r="D36" s="11">
        <f>D29+D34</f>
        <v/>
      </c>
      <c r="E36" s="11">
        <f>E29+E34</f>
        <v/>
      </c>
      <c r="F36" s="11">
        <f>F29+F34</f>
        <v/>
      </c>
      <c r="G36" s="11">
        <f>G29+G34</f>
        <v/>
      </c>
      <c r="H36" s="11">
        <f>H29+H34</f>
        <v/>
      </c>
      <c r="I36" s="11">
        <f>I29+I34</f>
        <v/>
      </c>
      <c r="J36" s="11">
        <f>J29+J34</f>
        <v/>
      </c>
      <c r="K36" s="11">
        <f>K29+K34</f>
        <v/>
      </c>
    </row>
    <row r="38">
      <c r="B38" s="12" t="inlineStr">
        <is>
          <t>Balance Check (should be 0)</t>
        </is>
      </c>
      <c r="D38" s="9">
        <f>D18-D36</f>
        <v/>
      </c>
      <c r="E38" s="9">
        <f>E18-E36</f>
        <v/>
      </c>
      <c r="F38" s="9">
        <f>F18-F36</f>
        <v/>
      </c>
      <c r="G38" s="9">
        <f>G18-G36</f>
        <v/>
      </c>
      <c r="H38" s="9">
        <f>H18-H36</f>
        <v/>
      </c>
      <c r="I38" s="9">
        <f>I18-I36</f>
        <v/>
      </c>
      <c r="J38" s="9">
        <f>J18-J36</f>
        <v/>
      </c>
      <c r="K38" s="9">
        <f>K18-K36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4" t="inlineStr"/>
      <c r="C2" s="4" t="inlineStr"/>
      <c r="D2" s="4" t="inlineStr">
        <is>
          <t>2021A</t>
        </is>
      </c>
      <c r="E2" s="4" t="inlineStr">
        <is>
          <t>2022A</t>
        </is>
      </c>
      <c r="F2" s="4" t="inlineStr">
        <is>
          <t>2023A</t>
        </is>
      </c>
      <c r="G2" s="4" t="inlineStr">
        <is>
          <t>2024E</t>
        </is>
      </c>
      <c r="H2" s="4" t="inlineStr">
        <is>
          <t>2025E</t>
        </is>
      </c>
      <c r="I2" s="4" t="inlineStr">
        <is>
          <t>2026E</t>
        </is>
      </c>
      <c r="J2" s="4" t="inlineStr">
        <is>
          <t>2027E</t>
        </is>
      </c>
      <c r="K2" s="4" t="inlineStr">
        <is>
          <t>2028E</t>
        </is>
      </c>
    </row>
    <row r="4">
      <c r="B4" s="5" t="inlineStr">
        <is>
          <t>CASH FLOW STATEMENT ($M)</t>
        </is>
      </c>
    </row>
    <row r="6">
      <c r="B6" s="10" t="inlineStr">
        <is>
          <t>OPERATING ACTIVITIES</t>
        </is>
      </c>
    </row>
    <row r="7">
      <c r="B7" t="inlineStr">
        <is>
          <t>Net Income</t>
        </is>
      </c>
      <c r="D7" s="9">
        <f>IS!D20</f>
        <v/>
      </c>
      <c r="E7" s="9">
        <f>IS!E20</f>
        <v/>
      </c>
      <c r="F7" s="9">
        <f>IS!F20</f>
        <v/>
      </c>
      <c r="G7" s="9">
        <f>IS!G20</f>
        <v/>
      </c>
      <c r="H7" s="9">
        <f>IS!H20</f>
        <v/>
      </c>
      <c r="I7" s="9">
        <f>IS!I20</f>
        <v/>
      </c>
      <c r="J7" s="9">
        <f>IS!J20</f>
        <v/>
      </c>
      <c r="K7" s="9">
        <f>IS!K20</f>
        <v/>
      </c>
    </row>
    <row r="8">
      <c r="B8" t="inlineStr">
        <is>
          <t>D&amp;A (add back)</t>
        </is>
      </c>
      <c r="D8" s="9">
        <f>-IS!D12</f>
        <v/>
      </c>
      <c r="E8" s="9">
        <f>-IS!E12</f>
        <v/>
      </c>
      <c r="F8" s="9">
        <f>-IS!F12</f>
        <v/>
      </c>
      <c r="G8" s="9">
        <f>-IS!G12</f>
        <v/>
      </c>
      <c r="H8" s="9">
        <f>-IS!H12</f>
        <v/>
      </c>
      <c r="I8" s="9">
        <f>-IS!I12</f>
        <v/>
      </c>
      <c r="J8" s="9">
        <f>-IS!J12</f>
        <v/>
      </c>
      <c r="K8" s="9">
        <f>-IS!K12</f>
        <v/>
      </c>
    </row>
    <row r="9">
      <c r="B9" t="inlineStr">
        <is>
          <t>Change in Working Capital</t>
        </is>
      </c>
      <c r="D9" s="9" t="n">
        <v>-25</v>
      </c>
      <c r="E9" s="9">
        <f>-(BS!E8-BS!D8)-(BS!E9-BS!D9)+(BS!E21-BS!D21)</f>
        <v/>
      </c>
      <c r="F9" s="9">
        <f>-(BS!F8-BS!E8)-(BS!F9-BS!E9)+(BS!F21-BS!E21)</f>
        <v/>
      </c>
      <c r="G9" s="9">
        <f>-(BS!G8-BS!F8)-(BS!G9-BS!F9)+(BS!G21-BS!F21)</f>
        <v/>
      </c>
      <c r="H9" s="9">
        <f>-(BS!H8-BS!G8)-(BS!H9-BS!G9)+(BS!H21-BS!G21)</f>
        <v/>
      </c>
      <c r="I9" s="9">
        <f>-(BS!I8-BS!H8)-(BS!I9-BS!H9)+(BS!I21-BS!H21)</f>
        <v/>
      </c>
      <c r="J9" s="9">
        <f>-(BS!J8-BS!I8)-(BS!J9-BS!I9)+(BS!J21-BS!I21)</f>
        <v/>
      </c>
      <c r="K9" s="9">
        <f>-(BS!K8-BS!J8)-(BS!K9-BS!J9)+(BS!K21-BS!J21)</f>
        <v/>
      </c>
    </row>
    <row r="11">
      <c r="B11" s="10" t="inlineStr">
        <is>
          <t>Cash from Operations</t>
        </is>
      </c>
      <c r="D11" s="9">
        <f>D7+D8+D9</f>
        <v/>
      </c>
      <c r="E11" s="9">
        <f>E7+E8+E9</f>
        <v/>
      </c>
      <c r="F11" s="9">
        <f>F7+F8+F9</f>
        <v/>
      </c>
      <c r="G11" s="9">
        <f>G7+G8+G9</f>
        <v/>
      </c>
      <c r="H11" s="9">
        <f>H7+H8+H9</f>
        <v/>
      </c>
      <c r="I11" s="9">
        <f>I7+I8+I9</f>
        <v/>
      </c>
      <c r="J11" s="9">
        <f>J7+J8+J9</f>
        <v/>
      </c>
      <c r="K11" s="9">
        <f>K7+K8+K9</f>
        <v/>
      </c>
    </row>
    <row r="13">
      <c r="B13" s="10" t="inlineStr">
        <is>
          <t>INVESTING ACTIVITIES</t>
        </is>
      </c>
    </row>
    <row r="14">
      <c r="B14" t="inlineStr">
        <is>
          <t>Capital Expenditures</t>
        </is>
      </c>
      <c r="D14" s="9">
        <f>-Revenue!D12*Assumptions!D23</f>
        <v/>
      </c>
      <c r="E14" s="9">
        <f>-Revenue!E12*Assumptions!E23</f>
        <v/>
      </c>
      <c r="F14" s="9">
        <f>-Revenue!F12*Assumptions!F23</f>
        <v/>
      </c>
      <c r="G14" s="9">
        <f>-Revenue!G12*Assumptions!G23</f>
        <v/>
      </c>
      <c r="H14" s="9">
        <f>-Revenue!H12*Assumptions!H23</f>
        <v/>
      </c>
      <c r="I14" s="9">
        <f>-Revenue!I12*Assumptions!I23</f>
        <v/>
      </c>
      <c r="J14" s="9">
        <f>-Revenue!J12*Assumptions!J23</f>
        <v/>
      </c>
      <c r="K14" s="9">
        <f>-Revenue!K12*Assumptions!K23</f>
        <v/>
      </c>
    </row>
    <row r="15">
      <c r="B15" s="10" t="inlineStr">
        <is>
          <t>Cash from Investing</t>
        </is>
      </c>
      <c r="D15" s="11">
        <f>D14</f>
        <v/>
      </c>
      <c r="E15" s="11">
        <f>E14</f>
        <v/>
      </c>
      <c r="F15" s="11">
        <f>F14</f>
        <v/>
      </c>
      <c r="G15" s="11">
        <f>G14</f>
        <v/>
      </c>
      <c r="H15" s="11">
        <f>H14</f>
        <v/>
      </c>
      <c r="I15" s="11">
        <f>I14</f>
        <v/>
      </c>
      <c r="J15" s="11">
        <f>J14</f>
        <v/>
      </c>
      <c r="K15" s="11">
        <f>K14</f>
        <v/>
      </c>
    </row>
    <row r="17">
      <c r="B17" s="10" t="inlineStr">
        <is>
          <t>FINANCING ACTIVITIES</t>
        </is>
      </c>
    </row>
    <row r="18">
      <c r="B18" t="inlineStr">
        <is>
          <t>Debt Repayment</t>
        </is>
      </c>
      <c r="D18" s="9" t="n">
        <v>0</v>
      </c>
      <c r="E18" s="9">
        <f>BS!E25-BS!D25</f>
        <v/>
      </c>
      <c r="F18" s="9">
        <f>BS!F25-BS!E25</f>
        <v/>
      </c>
      <c r="G18" s="9">
        <f>BS!G25-BS!F25</f>
        <v/>
      </c>
      <c r="H18" s="9">
        <f>BS!H25-BS!G25</f>
        <v/>
      </c>
      <c r="I18" s="9">
        <f>BS!I25-BS!H25</f>
        <v/>
      </c>
      <c r="J18" s="9">
        <f>BS!J25-BS!I25</f>
        <v/>
      </c>
      <c r="K18" s="9">
        <f>BS!K25-BS!J25</f>
        <v/>
      </c>
    </row>
    <row r="19">
      <c r="B19" t="inlineStr">
        <is>
          <t>Dividends Paid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</row>
    <row r="20">
      <c r="B20" s="10" t="inlineStr">
        <is>
          <t>Cash from Financing</t>
        </is>
      </c>
      <c r="D20" s="11">
        <f>D18+D19</f>
        <v/>
      </c>
      <c r="E20" s="11">
        <f>E18+E19</f>
        <v/>
      </c>
      <c r="F20" s="11">
        <f>F18+F19</f>
        <v/>
      </c>
      <c r="G20" s="11">
        <f>G18+G19</f>
        <v/>
      </c>
      <c r="H20" s="11">
        <f>H18+H19</f>
        <v/>
      </c>
      <c r="I20" s="11">
        <f>I18+I19</f>
        <v/>
      </c>
      <c r="J20" s="11">
        <f>J18+J19</f>
        <v/>
      </c>
      <c r="K20" s="11">
        <f>K18+K19</f>
        <v/>
      </c>
    </row>
    <row r="22">
      <c r="B22" s="5" t="inlineStr">
        <is>
          <t>SUMMARY</t>
        </is>
      </c>
    </row>
    <row r="24">
      <c r="B24" t="inlineStr">
        <is>
          <t>Beginning Cash</t>
        </is>
      </c>
      <c r="D24" s="9" t="n">
        <v>380</v>
      </c>
      <c r="E24" s="9">
        <f>D27</f>
        <v/>
      </c>
      <c r="F24" s="9">
        <f>E27</f>
        <v/>
      </c>
      <c r="G24" s="9">
        <f>F27</f>
        <v/>
      </c>
      <c r="H24" s="9">
        <f>G27</f>
        <v/>
      </c>
      <c r="I24" s="9">
        <f>H27</f>
        <v/>
      </c>
      <c r="J24" s="9">
        <f>I27</f>
        <v/>
      </c>
      <c r="K24" s="9">
        <f>J27</f>
        <v/>
      </c>
    </row>
    <row r="25">
      <c r="B25" t="inlineStr">
        <is>
          <t>Net Change in Cash</t>
        </is>
      </c>
      <c r="D25" s="9">
        <f>D11+D15+D20</f>
        <v/>
      </c>
      <c r="E25" s="9">
        <f>E11+E15+E20</f>
        <v/>
      </c>
      <c r="F25" s="9">
        <f>F11+F15+F20</f>
        <v/>
      </c>
      <c r="G25" s="9">
        <f>G11+G15+G20</f>
        <v/>
      </c>
      <c r="H25" s="9">
        <f>H11+H15+H20</f>
        <v/>
      </c>
      <c r="I25" s="9">
        <f>I11+I15+I20</f>
        <v/>
      </c>
      <c r="J25" s="9">
        <f>J11+J15+J20</f>
        <v/>
      </c>
      <c r="K25" s="9">
        <f>K11+K15+K20</f>
        <v/>
      </c>
    </row>
    <row r="27">
      <c r="B27" s="10" t="inlineStr">
        <is>
          <t>Ending Cash</t>
        </is>
      </c>
      <c r="D27" s="11">
        <f>D24+D25</f>
        <v/>
      </c>
      <c r="E27" s="11">
        <f>E24+E25</f>
        <v/>
      </c>
      <c r="F27" s="11">
        <f>F24+F25</f>
        <v/>
      </c>
      <c r="G27" s="11">
        <f>G24+G25</f>
        <v/>
      </c>
      <c r="H27" s="11">
        <f>H24+H25</f>
        <v/>
      </c>
      <c r="I27" s="11">
        <f>I24+I25</f>
        <v/>
      </c>
      <c r="J27" s="11">
        <f>J24+J25</f>
        <v/>
      </c>
      <c r="K27" s="11">
        <f>K24+K25</f>
        <v/>
      </c>
    </row>
    <row r="28">
      <c r="B28" t="inlineStr">
        <is>
          <t>Change in Cash (for BS)</t>
        </is>
      </c>
      <c r="D28" s="9">
        <f>D25</f>
        <v/>
      </c>
      <c r="E28" s="9">
        <f>E25</f>
        <v/>
      </c>
      <c r="F28" s="9">
        <f>F25</f>
        <v/>
      </c>
      <c r="G28" s="9">
        <f>G25</f>
        <v/>
      </c>
      <c r="H28" s="9">
        <f>H25</f>
        <v/>
      </c>
      <c r="I28" s="9">
        <f>I25</f>
        <v/>
      </c>
      <c r="J28" s="9">
        <f>J25</f>
        <v/>
      </c>
      <c r="K28" s="9">
        <f>K25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28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4" t="inlineStr"/>
      <c r="C2" s="4" t="inlineStr"/>
      <c r="D2" s="4" t="inlineStr">
        <is>
          <t>2024E</t>
        </is>
      </c>
      <c r="E2" s="4" t="inlineStr">
        <is>
          <t>2025E</t>
        </is>
      </c>
      <c r="F2" s="4" t="inlineStr">
        <is>
          <t>2026E</t>
        </is>
      </c>
      <c r="G2" s="4" t="inlineStr">
        <is>
          <t>2027E</t>
        </is>
      </c>
      <c r="H2" s="4" t="inlineStr">
        <is>
          <t>2028E</t>
        </is>
      </c>
      <c r="I2" s="4" t="inlineStr">
        <is>
          <t>Terminal</t>
        </is>
      </c>
    </row>
    <row r="4">
      <c r="B4" s="5" t="inlineStr">
        <is>
          <t>DCF VALUATION ($M)</t>
        </is>
      </c>
    </row>
    <row r="6">
      <c r="B6" s="10" t="inlineStr">
        <is>
          <t>KEY ASSUMPTIONS</t>
        </is>
      </c>
    </row>
    <row r="7">
      <c r="B7" t="inlineStr">
        <is>
          <t>WACC</t>
        </is>
      </c>
      <c r="D7" s="7" t="n">
        <v>0.1</v>
      </c>
    </row>
    <row r="8">
      <c r="B8" t="inlineStr">
        <is>
          <t>Terminal Growth Rate</t>
        </is>
      </c>
      <c r="D8" s="7" t="n">
        <v>0.025</v>
      </c>
    </row>
    <row r="11">
      <c r="B11" s="5" t="inlineStr">
        <is>
          <t>FREE CASH FLOW</t>
        </is>
      </c>
    </row>
    <row r="12">
      <c r="B12" t="inlineStr">
        <is>
          <t>EBIT</t>
        </is>
      </c>
      <c r="D12" s="9">
        <f>IS!G13</f>
        <v/>
      </c>
      <c r="E12" s="9">
        <f>IS!H13</f>
        <v/>
      </c>
      <c r="F12" s="9">
        <f>IS!I13</f>
        <v/>
      </c>
      <c r="G12" s="9">
        <f>IS!J13</f>
        <v/>
      </c>
      <c r="H12" s="9">
        <f>IS!K13</f>
        <v/>
      </c>
    </row>
    <row r="13">
      <c r="B13" t="inlineStr">
        <is>
          <t>Less: Taxes</t>
        </is>
      </c>
      <c r="D13" s="9">
        <f>-G12*Assumptions!G27</f>
        <v/>
      </c>
      <c r="E13" s="9">
        <f>-H12*Assumptions!H27</f>
        <v/>
      </c>
      <c r="F13" s="9">
        <f>-I12*Assumptions!I27</f>
        <v/>
      </c>
      <c r="G13" s="9">
        <f>-J12*Assumptions!J27</f>
        <v/>
      </c>
      <c r="H13" s="9">
        <f>-K12*Assumptions!K27</f>
        <v/>
      </c>
    </row>
    <row r="14">
      <c r="B14" s="10" t="inlineStr">
        <is>
          <t>EBIAT</t>
        </is>
      </c>
      <c r="D14" s="9">
        <f>D12+D13</f>
        <v/>
      </c>
      <c r="E14" s="9">
        <f>E12+E13</f>
        <v/>
      </c>
      <c r="F14" s="9">
        <f>F12+F13</f>
        <v/>
      </c>
      <c r="G14" s="9">
        <f>G12+G13</f>
        <v/>
      </c>
      <c r="H14" s="9">
        <f>H12+H13</f>
        <v/>
      </c>
    </row>
    <row r="15">
      <c r="B15" t="inlineStr">
        <is>
          <t>Plus: D&amp;A</t>
        </is>
      </c>
      <c r="D15" s="9">
        <f>-IS!G12</f>
        <v/>
      </c>
      <c r="E15" s="9">
        <f>-IS!H12</f>
        <v/>
      </c>
      <c r="F15" s="9">
        <f>-IS!I12</f>
        <v/>
      </c>
      <c r="G15" s="9">
        <f>-IS!J12</f>
        <v/>
      </c>
      <c r="H15" s="9">
        <f>-IS!K12</f>
        <v/>
      </c>
    </row>
    <row r="16">
      <c r="B16" t="inlineStr">
        <is>
          <t>Less: CapEx</t>
        </is>
      </c>
      <c r="D16" s="9">
        <f>CF!G14</f>
        <v/>
      </c>
      <c r="E16" s="9">
        <f>CF!H14</f>
        <v/>
      </c>
      <c r="F16" s="9">
        <f>CF!I14</f>
        <v/>
      </c>
      <c r="G16" s="9">
        <f>CF!J14</f>
        <v/>
      </c>
      <c r="H16" s="9">
        <f>CF!K14</f>
        <v/>
      </c>
    </row>
    <row r="17">
      <c r="B17" t="inlineStr">
        <is>
          <t>Less: Change in NWC</t>
        </is>
      </c>
      <c r="D17" s="9">
        <f>CF!G9</f>
        <v/>
      </c>
      <c r="E17" s="9">
        <f>CF!H9</f>
        <v/>
      </c>
      <c r="F17" s="9">
        <f>CF!I9</f>
        <v/>
      </c>
      <c r="G17" s="9">
        <f>CF!J9</f>
        <v/>
      </c>
      <c r="H17" s="9">
        <f>CF!K9</f>
        <v/>
      </c>
    </row>
    <row r="18">
      <c r="B18" s="10" t="inlineStr">
        <is>
          <t>Unlevered Free Cash Flow</t>
        </is>
      </c>
      <c r="D18" s="9">
        <f>D14+D15+D16+D17</f>
        <v/>
      </c>
      <c r="E18" s="9">
        <f>E14+E15+E16+E17</f>
        <v/>
      </c>
      <c r="F18" s="9">
        <f>F14+F15+F16+F17</f>
        <v/>
      </c>
      <c r="G18" s="9">
        <f>G14+G15+G16+G17</f>
        <v/>
      </c>
      <c r="H18" s="9">
        <f>H14+H15+H16+H17</f>
        <v/>
      </c>
      <c r="I18" s="9">
        <f>H18*(1+$D$8)/($D$7-$D$8)</f>
        <v/>
      </c>
    </row>
    <row r="20">
      <c r="B20" s="5" t="inlineStr">
        <is>
          <t>DISCOUNTING</t>
        </is>
      </c>
    </row>
    <row r="21">
      <c r="B21" t="inlineStr">
        <is>
          <t>Period</t>
        </is>
      </c>
      <c r="D21" t="n">
        <v>1</v>
      </c>
      <c r="E21" t="n">
        <v>2</v>
      </c>
      <c r="F21" t="n">
        <v>3</v>
      </c>
      <c r="G21" t="n">
        <v>4</v>
      </c>
      <c r="H21" t="n">
        <v>5</v>
      </c>
      <c r="I21" t="n">
        <v>5</v>
      </c>
    </row>
    <row r="22">
      <c r="B22" t="inlineStr">
        <is>
          <t>Discount Factor</t>
        </is>
      </c>
      <c r="D22" s="13">
        <f>1/(1+$D$7)^D21</f>
        <v/>
      </c>
      <c r="E22" s="13">
        <f>1/(1+$D$7)^E21</f>
        <v/>
      </c>
      <c r="F22" s="13">
        <f>1/(1+$D$7)^F21</f>
        <v/>
      </c>
      <c r="G22" s="13">
        <f>1/(1+$D$7)^G21</f>
        <v/>
      </c>
      <c r="H22" s="13">
        <f>1/(1+$D$7)^H21</f>
        <v/>
      </c>
      <c r="I22" s="13">
        <f>1/(1+$D$7)^I21</f>
        <v/>
      </c>
    </row>
    <row r="23">
      <c r="B23" s="10" t="inlineStr">
        <is>
          <t>PV of Cash Flow</t>
        </is>
      </c>
      <c r="D23" s="11">
        <f>D18*D22</f>
        <v/>
      </c>
      <c r="E23" s="11">
        <f>E18*E22</f>
        <v/>
      </c>
      <c r="F23" s="11">
        <f>F18*F22</f>
        <v/>
      </c>
      <c r="G23" s="11">
        <f>G18*G22</f>
        <v/>
      </c>
      <c r="H23" s="11">
        <f>H18*H22</f>
        <v/>
      </c>
      <c r="I23" s="11">
        <f>I18*I22</f>
        <v/>
      </c>
    </row>
    <row r="26">
      <c r="B26" s="5" t="inlineStr">
        <is>
          <t>VALUATION SUMMARY</t>
        </is>
      </c>
    </row>
    <row r="28">
      <c r="B28" t="inlineStr">
        <is>
          <t>PV of Forecast Period FCF</t>
        </is>
      </c>
      <c r="D28" s="9">
        <f>SUM(D23:H23)</f>
        <v/>
      </c>
    </row>
    <row r="29">
      <c r="B29" t="inlineStr">
        <is>
          <t>PV of Terminal Value</t>
        </is>
      </c>
      <c r="D29" s="9">
        <f>I23</f>
        <v/>
      </c>
    </row>
    <row r="30">
      <c r="B30" s="10" t="inlineStr">
        <is>
          <t>Enterprise Value</t>
        </is>
      </c>
      <c r="D30" s="11">
        <f>D28+D29</f>
        <v/>
      </c>
    </row>
    <row r="32">
      <c r="B32" t="inlineStr">
        <is>
          <t>Less: Net Debt (2023)</t>
        </is>
      </c>
      <c r="D32" s="9">
        <f>BS!F25-BS!F7</f>
        <v/>
      </c>
    </row>
    <row r="33">
      <c r="B33" s="10" t="inlineStr">
        <is>
          <t>Equity Value</t>
        </is>
      </c>
      <c r="D33" s="11">
        <f>D30-D32</f>
        <v/>
      </c>
    </row>
    <row r="35">
      <c r="B35" t="inlineStr">
        <is>
          <t>Shares Outstanding (M)</t>
        </is>
      </c>
      <c r="D35" s="8" t="n">
        <v>150</v>
      </c>
    </row>
    <row r="36">
      <c r="B36" s="14" t="inlineStr">
        <is>
          <t>Implied Share Price</t>
        </is>
      </c>
      <c r="D36" s="15">
        <f>D33/D35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2026-01-30T20:11:16Z</dcterms:created>
  <dcterms:modified xmlns:dcterms="http://purl.org/dc/terms/" xmlns:xsi="http://www.w3.org/2001/XMLSchema-instance" xsi:type="dcterms:W3CDTF">2026-01-30T20:11:16Z</dcterms:modified>
</cp:coreProperties>
</file>